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D97223-75C4-4B4E-A0BE-9D6FA9A0CE91}" xr6:coauthVersionLast="47" xr6:coauthVersionMax="47" xr10:uidLastSave="{00000000-0000-0000-0000-000000000000}"/>
  <bookViews>
    <workbookView xWindow="-120" yWindow="-120" windowWidth="20730" windowHeight="11040" xr2:uid="{485DE3F3-A043-41C9-8BFC-9F9ABCEC5EF1}"/>
  </bookViews>
  <sheets>
    <sheet name="Matrice" sheetId="1" r:id="rId1"/>
  </sheets>
  <definedNames>
    <definedName name="choix">Matrice!$J$4:$J$7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" l="1"/>
  <c r="F15" i="1"/>
  <c r="F28" i="1"/>
  <c r="F27" i="1"/>
  <c r="G30" i="1"/>
  <c r="H30" i="1" s="1"/>
  <c r="F26" i="1"/>
  <c r="F25" i="1"/>
  <c r="F20" i="1"/>
  <c r="F21" i="1"/>
  <c r="F22" i="1"/>
  <c r="F23" i="1"/>
  <c r="F19" i="1"/>
  <c r="F16" i="1"/>
  <c r="F17" i="1"/>
  <c r="G19" i="1" l="1"/>
  <c r="H19" i="1" s="1"/>
  <c r="G15" i="1"/>
  <c r="G25" i="1"/>
  <c r="H25" i="1" s="1"/>
</calcChain>
</file>

<file path=xl/sharedStrings.xml><?xml version="1.0" encoding="utf-8"?>
<sst xmlns="http://schemas.openxmlformats.org/spreadsheetml/2006/main" count="61" uniqueCount="46">
  <si>
    <t>Pondération</t>
  </si>
  <si>
    <t>Evaluation</t>
  </si>
  <si>
    <t>tout à fait d'accord</t>
  </si>
  <si>
    <t>plutôt d'accord</t>
  </si>
  <si>
    <t>plutôt pas d'accord</t>
  </si>
  <si>
    <t>pas du tout d'accord</t>
  </si>
  <si>
    <t>Critères d'évaluation</t>
  </si>
  <si>
    <t>Faisabilité économique et sociale</t>
  </si>
  <si>
    <t>Moyenne/5</t>
  </si>
  <si>
    <t>Légende</t>
  </si>
  <si>
    <t>Choix</t>
  </si>
  <si>
    <t>Valeur</t>
  </si>
  <si>
    <t>Nom / Code projet</t>
  </si>
  <si>
    <t>Date de création</t>
  </si>
  <si>
    <t>Référence</t>
  </si>
  <si>
    <t>Programme PG01/Portfolio PF02</t>
  </si>
  <si>
    <t>Date de la version</t>
  </si>
  <si>
    <t>Chef de projet</t>
  </si>
  <si>
    <t>Numéro de version</t>
  </si>
  <si>
    <t>V2.3</t>
  </si>
  <si>
    <t>Service/Organisation</t>
  </si>
  <si>
    <t>Remplacez les informations dans ce tableau par les données spécifiques à votre projet</t>
  </si>
  <si>
    <t>Pondérez chacun des critères listés et obtenez une évaluation globale</t>
  </si>
  <si>
    <t>Faisabilité stratégique</t>
  </si>
  <si>
    <t>Le projet répond à un besoin clairement défini</t>
  </si>
  <si>
    <t>Faisabilité  technique et légale</t>
  </si>
  <si>
    <t>Le projet répond aux réglementations en vigueur</t>
  </si>
  <si>
    <t>Tout à fait d'accord</t>
  </si>
  <si>
    <t>Plutôt d'accord</t>
  </si>
  <si>
    <t>Les coûts et bénéfices sont clairement identifiables et mesurables</t>
  </si>
  <si>
    <t>Faisabilité opérationnelle</t>
  </si>
  <si>
    <t>Les activités et coûts sont identifiés</t>
  </si>
  <si>
    <t>Le projet s'inscrit dans la stratégie de l'organisation est aligné avec ses valeurs</t>
  </si>
  <si>
    <t>On peut obtenir les autorisations administratives</t>
  </si>
  <si>
    <t>Les équipements, outils et logiciels nécessaires sont qualifiés et rapidement disponibles</t>
  </si>
  <si>
    <t>On réponds à la conformité des normes de sécurité</t>
  </si>
  <si>
    <t>Les ressources humaines sont disponibles avec des rôles et responsabilités claires</t>
  </si>
  <si>
    <t>On a un plan d’action structuré avec une capacité à gérer les imprévus</t>
  </si>
  <si>
    <t>On a des sources de financement et une capacité à attirer des sponsors/partenaires</t>
  </si>
  <si>
    <t>Le projet a un impact sur la communauté locale et contribue au développement social</t>
  </si>
  <si>
    <t>M. ali maabid</t>
  </si>
  <si>
    <t>améliorer l'image de l'organisation</t>
  </si>
  <si>
    <t>Il n'existe pas des projets de ce type exécutés</t>
  </si>
  <si>
    <t>L'impact sur L'opération d'importation  est identifié et acceptable</t>
  </si>
  <si>
    <t>ParaAccess</t>
  </si>
  <si>
    <t>location de matériels handisport de para-athletisme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</si>
</sst>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name val="Candara"/>
      <family val="2"/>
    </font>
    <font>
      <b/>
      <sz val="11"/>
      <name val="Candara"/>
      <family val="2"/>
    </font>
    <font>
      <sz val="11"/>
      <color theme="1"/>
      <name val="Candara"/>
      <family val="2"/>
    </font>
    <font>
      <sz val="14"/>
      <color theme="1"/>
      <name val="Candara"/>
      <family val="2"/>
    </font>
    <font>
      <b/>
      <sz val="11"/>
      <color rgb="FF000000"/>
      <name val="Candara"/>
      <family val="2"/>
    </font>
    <font>
      <b/>
      <sz val="11"/>
      <color rgb="FF439B69"/>
      <name val="Candara"/>
      <family val="2"/>
    </font>
    <font>
      <sz val="11"/>
      <color rgb="FF439B69"/>
      <name val="Candara"/>
      <family val="2"/>
    </font>
    <font>
      <sz val="11"/>
      <color rgb="FF26262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2BD8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439B69"/>
      </left>
      <right/>
      <top style="thin">
        <color rgb="FF439B69"/>
      </top>
      <bottom style="thin">
        <color rgb="FF439B69"/>
      </bottom>
      <diagonal/>
    </border>
    <border>
      <left/>
      <right style="thin">
        <color rgb="FF439B69"/>
      </right>
      <top style="thin">
        <color rgb="FF439B69"/>
      </top>
      <bottom style="thin">
        <color rgb="FF439B6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62BD8A"/>
      </right>
      <top/>
      <bottom style="thin">
        <color rgb="FF129E00"/>
      </bottom>
      <diagonal/>
    </border>
    <border>
      <left style="thin">
        <color rgb="FF129E00"/>
      </left>
      <right/>
      <top style="thin">
        <color rgb="FF129E00"/>
      </top>
      <bottom style="thin">
        <color rgb="FF129E00"/>
      </bottom>
      <diagonal/>
    </border>
    <border>
      <left/>
      <right/>
      <top style="thin">
        <color rgb="FF439B69"/>
      </top>
      <bottom style="thin">
        <color rgb="FF439B69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3" fillId="3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7" fillId="4" borderId="12" xfId="0" applyFont="1" applyFill="1" applyBorder="1" applyAlignment="1">
      <alignment vertical="center"/>
    </xf>
    <xf numFmtId="0" fontId="4" fillId="4" borderId="0" xfId="0" applyFont="1" applyFill="1"/>
    <xf numFmtId="0" fontId="7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4" fillId="0" borderId="15" xfId="0" applyFont="1" applyBorder="1"/>
    <xf numFmtId="49" fontId="1" fillId="3" borderId="13" xfId="0" applyNumberFormat="1" applyFont="1" applyFill="1" applyBorder="1" applyAlignment="1" applyProtection="1">
      <alignment vertical="center" wrapText="1"/>
      <protection locked="0"/>
    </xf>
    <xf numFmtId="0" fontId="1" fillId="4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4" fillId="0" borderId="4" xfId="0" applyFont="1" applyBorder="1" applyAlignment="1">
      <alignment wrapText="1"/>
    </xf>
    <xf numFmtId="0" fontId="9" fillId="0" borderId="0" xfId="0" applyFont="1" applyAlignment="1">
      <alignment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4" fontId="1" fillId="3" borderId="6" xfId="0" applyNumberFormat="1" applyFont="1" applyFill="1" applyBorder="1" applyAlignment="1" applyProtection="1">
      <alignment horizontal="center" vertical="center"/>
      <protection locked="0"/>
    </xf>
    <xf numFmtId="14" fontId="1" fillId="3" borderId="7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B4B5-8B41-4307-97C2-4C551FFF0EC3}">
  <dimension ref="B1:K33"/>
  <sheetViews>
    <sheetView showGridLines="0" tabSelected="1" zoomScale="75" zoomScaleNormal="75" workbookViewId="0">
      <selection activeCell="C10" sqref="C10"/>
    </sheetView>
  </sheetViews>
  <sheetFormatPr baseColWidth="10" defaultColWidth="11.5703125" defaultRowHeight="15" x14ac:dyDescent="0.25"/>
  <cols>
    <col min="1" max="1" width="5.28515625" style="1" customWidth="1"/>
    <col min="2" max="2" width="23.28515625" style="1" customWidth="1"/>
    <col min="3" max="3" width="69.7109375" style="28" customWidth="1"/>
    <col min="4" max="4" width="12.42578125" style="1" bestFit="1" customWidth="1"/>
    <col min="5" max="5" width="19.5703125" style="1" bestFit="1" customWidth="1"/>
    <col min="6" max="6" width="6.7109375" style="6" bestFit="1" customWidth="1"/>
    <col min="7" max="7" width="13.28515625" style="1" customWidth="1"/>
    <col min="8" max="8" width="30.42578125" style="1" customWidth="1"/>
    <col min="9" max="9" width="4.7109375" style="1" customWidth="1"/>
    <col min="10" max="10" width="18.85546875" style="6" bestFit="1" customWidth="1"/>
    <col min="11" max="11" width="11.5703125" style="6"/>
    <col min="12" max="16384" width="11.5703125" style="1"/>
  </cols>
  <sheetData>
    <row r="1" spans="2:11" x14ac:dyDescent="0.25">
      <c r="J1" s="37" t="s">
        <v>9</v>
      </c>
      <c r="K1" s="38"/>
    </row>
    <row r="3" spans="2:11" x14ac:dyDescent="0.25">
      <c r="J3" s="8" t="s">
        <v>10</v>
      </c>
      <c r="K3" s="8" t="s">
        <v>11</v>
      </c>
    </row>
    <row r="4" spans="2:11" x14ac:dyDescent="0.25">
      <c r="B4" s="16" t="s">
        <v>12</v>
      </c>
      <c r="C4" s="26" t="s">
        <v>45</v>
      </c>
      <c r="E4" s="24" t="s">
        <v>13</v>
      </c>
      <c r="F4" s="25"/>
      <c r="G4" s="34">
        <v>46082</v>
      </c>
      <c r="H4" s="34"/>
      <c r="J4" s="9" t="s">
        <v>2</v>
      </c>
      <c r="K4" s="9">
        <v>5</v>
      </c>
    </row>
    <row r="5" spans="2:11" x14ac:dyDescent="0.25">
      <c r="B5" s="18"/>
      <c r="C5" s="27"/>
      <c r="E5" s="23"/>
      <c r="F5" s="19"/>
      <c r="G5" s="17"/>
      <c r="J5" s="9" t="s">
        <v>3</v>
      </c>
      <c r="K5" s="9">
        <v>3</v>
      </c>
    </row>
    <row r="6" spans="2:11" x14ac:dyDescent="0.25">
      <c r="B6" s="16" t="s">
        <v>14</v>
      </c>
      <c r="C6" s="26" t="s">
        <v>15</v>
      </c>
      <c r="E6" s="24" t="s">
        <v>16</v>
      </c>
      <c r="F6" s="25"/>
      <c r="G6" s="34">
        <v>46083</v>
      </c>
      <c r="H6" s="34"/>
      <c r="J6" s="9" t="s">
        <v>4</v>
      </c>
      <c r="K6" s="9">
        <v>2</v>
      </c>
    </row>
    <row r="7" spans="2:11" x14ac:dyDescent="0.25">
      <c r="B7" s="20"/>
      <c r="C7" s="27"/>
      <c r="D7" s="17"/>
      <c r="E7" s="21"/>
      <c r="F7" s="19"/>
      <c r="G7" s="17"/>
      <c r="J7" s="9" t="s">
        <v>5</v>
      </c>
      <c r="K7" s="9">
        <v>0</v>
      </c>
    </row>
    <row r="8" spans="2:11" x14ac:dyDescent="0.25">
      <c r="B8" s="16" t="s">
        <v>17</v>
      </c>
      <c r="C8" s="26" t="s">
        <v>40</v>
      </c>
      <c r="E8" s="24" t="s">
        <v>18</v>
      </c>
      <c r="F8" s="25"/>
      <c r="G8" s="34" t="s">
        <v>19</v>
      </c>
      <c r="H8" s="34"/>
    </row>
    <row r="9" spans="2:11" x14ac:dyDescent="0.25">
      <c r="B9" s="18"/>
      <c r="C9" s="27"/>
      <c r="D9" s="17"/>
      <c r="E9" s="17"/>
      <c r="F9" s="17"/>
      <c r="G9" s="22"/>
      <c r="H9" s="17"/>
    </row>
    <row r="10" spans="2:11" x14ac:dyDescent="0.25">
      <c r="B10" s="16" t="s">
        <v>20</v>
      </c>
      <c r="C10" s="26" t="s">
        <v>44</v>
      </c>
      <c r="E10" s="17"/>
      <c r="F10" s="17"/>
      <c r="G10" s="22"/>
      <c r="H10" s="22"/>
    </row>
    <row r="12" spans="2:11" ht="15.75" thickBot="1" x14ac:dyDescent="0.3">
      <c r="B12" s="1" t="s">
        <v>21</v>
      </c>
      <c r="D12" s="1" t="s">
        <v>22</v>
      </c>
    </row>
    <row r="13" spans="2:11" ht="30" x14ac:dyDescent="0.25">
      <c r="B13" s="35" t="s">
        <v>6</v>
      </c>
      <c r="C13" s="36"/>
      <c r="D13" s="13" t="s">
        <v>0</v>
      </c>
      <c r="E13" s="13" t="s">
        <v>1</v>
      </c>
      <c r="F13" s="13" t="s">
        <v>11</v>
      </c>
      <c r="G13" s="13" t="s">
        <v>8</v>
      </c>
      <c r="H13" s="14" t="s">
        <v>1</v>
      </c>
    </row>
    <row r="14" spans="2:11" x14ac:dyDescent="0.25">
      <c r="B14" s="2" t="s">
        <v>23</v>
      </c>
      <c r="C14" s="29"/>
      <c r="D14" s="3"/>
      <c r="E14" s="3"/>
      <c r="F14" s="4"/>
      <c r="G14" s="3"/>
      <c r="H14" s="5"/>
    </row>
    <row r="15" spans="2:11" ht="14.45" customHeight="1" x14ac:dyDescent="0.25">
      <c r="B15" s="7"/>
      <c r="C15" s="31" t="s">
        <v>32</v>
      </c>
      <c r="D15" s="6">
        <v>2</v>
      </c>
      <c r="E15" s="1" t="s">
        <v>2</v>
      </c>
      <c r="F15" s="6">
        <f>IF(E15=$J$4,$K$4,IF(E15=$J$5,$K$5,IF(E15=$J$6,$K$6,IF(E15=$J$7,$K$7,""))))*D15</f>
        <v>10</v>
      </c>
      <c r="G15" s="33">
        <f>SUM(F15:F17)/(D15+D16+D17)</f>
        <v>5</v>
      </c>
      <c r="H15" s="32" t="str">
        <f>IF(G15&lt;2.5,"L'évaluation du projet n'est pas assurée et présente plusieurs risques à considérer.",IF(G15&lt;3.5,"L'évaluation est satisfaisante mais présente un ou plusieurs risques à considérer.",IF(G15&gt;3.5,"L'évaluation du projet semble très saisfaisante.""")))</f>
        <v>L'évaluation du projet semble très saisfaisante."</v>
      </c>
    </row>
    <row r="16" spans="2:11" ht="14.45" customHeight="1" x14ac:dyDescent="0.25">
      <c r="B16" s="7"/>
      <c r="C16" s="31" t="s">
        <v>41</v>
      </c>
      <c r="D16" s="6">
        <v>3</v>
      </c>
      <c r="E16" s="1" t="s">
        <v>2</v>
      </c>
      <c r="F16" s="6">
        <f>IF(E16=$J$4,$K$4,IF(E16=$J$5,$K$5,IF(E16=$J$6,$K$6,IF(E16=$J$7,$K$7,""))))*D16</f>
        <v>15</v>
      </c>
      <c r="G16" s="33"/>
      <c r="H16" s="32"/>
    </row>
    <row r="17" spans="2:8" ht="14.45" customHeight="1" x14ac:dyDescent="0.25">
      <c r="B17" s="7"/>
      <c r="C17" s="31" t="s">
        <v>24</v>
      </c>
      <c r="D17" s="6">
        <v>4</v>
      </c>
      <c r="E17" s="1" t="s">
        <v>2</v>
      </c>
      <c r="F17" s="6">
        <f>IF(E17=$J$4,$K$4,IF(E17=$J$5,$K$5,IF(E17=$J$6,$K$6,IF(E17=$J$7,$K$7,""))))*D17</f>
        <v>20</v>
      </c>
      <c r="G17" s="33"/>
      <c r="H17" s="32"/>
    </row>
    <row r="18" spans="2:8" x14ac:dyDescent="0.25">
      <c r="B18" s="2" t="s">
        <v>25</v>
      </c>
      <c r="C18" s="29"/>
      <c r="D18" s="3"/>
      <c r="E18" s="3"/>
      <c r="F18" s="4"/>
      <c r="G18" s="3"/>
      <c r="H18" s="5"/>
    </row>
    <row r="19" spans="2:8" ht="14.45" customHeight="1" x14ac:dyDescent="0.25">
      <c r="B19" s="7"/>
      <c r="C19" s="31" t="s">
        <v>26</v>
      </c>
      <c r="D19" s="6">
        <v>5</v>
      </c>
      <c r="E19" s="1" t="s">
        <v>27</v>
      </c>
      <c r="F19" s="6">
        <f t="shared" ref="F19:F23" si="0">IF(E19=$J$4,$K$4,IF(E19=$J$5,$K$5,IF(E19=$J$6,$K$6,IF(E19=$J$7,$K$7,""))))*D19</f>
        <v>25</v>
      </c>
      <c r="G19" s="33">
        <f>SUM(F19:F23)/(D19+D20+D21+D22+D23)</f>
        <v>4</v>
      </c>
      <c r="H19" s="32" t="str">
        <f>IF(G19&lt;2.5,"L'évaluation du projet n'est pas assurée et présente plusieurs risques à considérer.",IF(G19&lt;3.5,"L'évaluation est satisfaisante mais présente un ou plusieurs risques à considérer.",IF(G19&gt;3.5,"L'évaluation du projet semble très saisfaisante.""")))</f>
        <v>L'évaluation du projet semble très saisfaisante."</v>
      </c>
    </row>
    <row r="20" spans="2:8" ht="14.45" customHeight="1" x14ac:dyDescent="0.25">
      <c r="B20" s="7"/>
      <c r="C20" s="31" t="s">
        <v>33</v>
      </c>
      <c r="D20" s="6">
        <v>5</v>
      </c>
      <c r="E20" s="1" t="s">
        <v>27</v>
      </c>
      <c r="F20" s="6">
        <f t="shared" si="0"/>
        <v>25</v>
      </c>
      <c r="G20" s="33"/>
      <c r="H20" s="32"/>
    </row>
    <row r="21" spans="2:8" ht="18" customHeight="1" x14ac:dyDescent="0.25">
      <c r="B21" s="7"/>
      <c r="C21" s="31" t="s">
        <v>35</v>
      </c>
      <c r="D21" s="6">
        <v>5</v>
      </c>
      <c r="E21" s="1" t="s">
        <v>28</v>
      </c>
      <c r="F21" s="6">
        <f t="shared" si="0"/>
        <v>15</v>
      </c>
      <c r="G21" s="33"/>
      <c r="H21" s="32"/>
    </row>
    <row r="22" spans="2:8" ht="27" customHeight="1" x14ac:dyDescent="0.25">
      <c r="B22" s="7"/>
      <c r="C22" s="31" t="s">
        <v>34</v>
      </c>
      <c r="D22" s="6">
        <v>3</v>
      </c>
      <c r="E22" s="1" t="s">
        <v>4</v>
      </c>
      <c r="F22" s="6">
        <f t="shared" si="0"/>
        <v>6</v>
      </c>
      <c r="G22" s="33"/>
      <c r="H22" s="32"/>
    </row>
    <row r="23" spans="2:8" ht="14.45" customHeight="1" x14ac:dyDescent="0.25">
      <c r="B23" s="7"/>
      <c r="C23" s="31" t="s">
        <v>42</v>
      </c>
      <c r="D23" s="6">
        <v>1</v>
      </c>
      <c r="E23" s="1" t="s">
        <v>27</v>
      </c>
      <c r="F23" s="6">
        <f t="shared" si="0"/>
        <v>5</v>
      </c>
      <c r="G23" s="33"/>
      <c r="H23" s="32"/>
    </row>
    <row r="24" spans="2:8" x14ac:dyDescent="0.25">
      <c r="B24" s="2" t="s">
        <v>30</v>
      </c>
      <c r="C24" s="29"/>
      <c r="D24" s="3"/>
      <c r="E24" s="3"/>
      <c r="F24" s="4"/>
      <c r="G24" s="3"/>
      <c r="H24" s="5"/>
    </row>
    <row r="25" spans="2:8" ht="14.45" customHeight="1" x14ac:dyDescent="0.25">
      <c r="B25" s="7"/>
      <c r="C25" s="31" t="s">
        <v>31</v>
      </c>
      <c r="D25" s="6">
        <v>5</v>
      </c>
      <c r="E25" s="1" t="s">
        <v>4</v>
      </c>
      <c r="F25" s="6">
        <f>IF(E25=$J$4,$K$4,IF(E25=$J$5,$K$5,IF(E25=$J$6,$K$6,IF(E25=$J$7,$K$7,""))))*D25</f>
        <v>10</v>
      </c>
      <c r="G25" s="33">
        <f>SUM(F25:F27)/(D25+D26+D27)</f>
        <v>3.1538461538461537</v>
      </c>
      <c r="H25" s="32" t="str">
        <f>IF(G25&lt;2.5,"L'évaluation du projet n'est pas assurée et présente plusieurs risques à considérer.",IF(G25&lt;3.5,"L'évaluation est satisfaisante mais présente un ou plusieurs risques à considérer.",IF(G25&gt;3.5,"L'évaluation du projet semble très saisfaisante.""")))</f>
        <v>L'évaluation est satisfaisante mais présente un ou plusieurs risques à considérer.</v>
      </c>
    </row>
    <row r="26" spans="2:8" ht="14.45" customHeight="1" x14ac:dyDescent="0.25">
      <c r="B26" s="7"/>
      <c r="C26" s="31" t="s">
        <v>43</v>
      </c>
      <c r="D26" s="6">
        <v>5</v>
      </c>
      <c r="E26" s="1" t="s">
        <v>2</v>
      </c>
      <c r="F26" s="6">
        <f>IF(E26=$J$4,$K$4,IF(E26=$J$5,$K$5,IF(E26=$J$6,$K$6,IF(E26=$J$7,$K$7,""))))*D26</f>
        <v>25</v>
      </c>
      <c r="G26" s="33"/>
      <c r="H26" s="32"/>
    </row>
    <row r="27" spans="2:8" ht="31.9" customHeight="1" x14ac:dyDescent="0.25">
      <c r="B27" s="7"/>
      <c r="C27" s="31" t="s">
        <v>36</v>
      </c>
      <c r="D27" s="6">
        <v>3</v>
      </c>
      <c r="E27" s="1" t="s">
        <v>4</v>
      </c>
      <c r="F27" s="6">
        <f>IF(E27=$J$4,$K$4,IF(E27=$J$5,$K$5,IF(E27=$J$6,$K$6,IF(E27=$J$7,$K$7,""))))*D27</f>
        <v>6</v>
      </c>
      <c r="G27" s="33"/>
      <c r="H27" s="32"/>
    </row>
    <row r="28" spans="2:8" ht="18" customHeight="1" x14ac:dyDescent="0.25">
      <c r="B28" s="7"/>
      <c r="C28" s="31" t="s">
        <v>37</v>
      </c>
      <c r="D28" s="6">
        <v>5</v>
      </c>
      <c r="E28" s="1" t="s">
        <v>5</v>
      </c>
      <c r="F28" s="6">
        <f>IF(E28=$J$4,$K$4,IF(E28=$J$5,$K$5,IF(E28=$J$6,$K$6,IF(E28=$J$7,$K$7,""))))*D28</f>
        <v>0</v>
      </c>
      <c r="G28" s="33"/>
      <c r="H28" s="32"/>
    </row>
    <row r="29" spans="2:8" x14ac:dyDescent="0.25">
      <c r="B29" s="2" t="s">
        <v>7</v>
      </c>
      <c r="C29" s="29"/>
      <c r="D29" s="3"/>
      <c r="E29" s="3"/>
      <c r="F29" s="4"/>
      <c r="G29" s="3"/>
      <c r="H29" s="5"/>
    </row>
    <row r="30" spans="2:8" ht="27" customHeight="1" x14ac:dyDescent="0.25">
      <c r="B30" s="7"/>
      <c r="C30" s="31" t="s">
        <v>39</v>
      </c>
      <c r="D30" s="6">
        <v>5</v>
      </c>
      <c r="E30" s="1" t="s">
        <v>2</v>
      </c>
      <c r="F30" s="6">
        <v>6</v>
      </c>
      <c r="G30" s="33">
        <f>SUM(F30:F32)/(D30+D31+D32)</f>
        <v>0.93333333333333335</v>
      </c>
      <c r="H30" s="32" t="str">
        <f>IF(G30&lt;2.5,"L'évaluation du projet n'est pas assurée et présente plusieurs risques à considérer.",IF(G30&lt;3.5,"L'évaluation est satisfaisante mais présente un ou plusieurs risques à considérer.",IF(G19&gt;3.5,"L'évaluation du projet semble très saisfaisante.""")))</f>
        <v>L'évaluation du projet n'est pas assurée et présente plusieurs risques à considérer.</v>
      </c>
    </row>
    <row r="31" spans="2:8" ht="27" customHeight="1" x14ac:dyDescent="0.25">
      <c r="B31" s="7"/>
      <c r="C31" s="31" t="s">
        <v>38</v>
      </c>
      <c r="D31" s="6">
        <v>5</v>
      </c>
      <c r="E31" s="1" t="s">
        <v>4</v>
      </c>
      <c r="F31" s="6">
        <v>2</v>
      </c>
      <c r="G31" s="33"/>
      <c r="H31" s="32"/>
    </row>
    <row r="32" spans="2:8" ht="14.45" customHeight="1" x14ac:dyDescent="0.25">
      <c r="B32" s="7"/>
      <c r="C32" s="31" t="s">
        <v>29</v>
      </c>
      <c r="D32" s="6">
        <v>5</v>
      </c>
      <c r="E32" s="1" t="s">
        <v>5</v>
      </c>
      <c r="F32" s="6">
        <v>6</v>
      </c>
      <c r="G32" s="33"/>
      <c r="H32" s="32"/>
    </row>
    <row r="33" spans="2:8" ht="15.75" thickBot="1" x14ac:dyDescent="0.3">
      <c r="B33" s="10"/>
      <c r="C33" s="30"/>
      <c r="D33" s="11"/>
      <c r="E33" s="11"/>
      <c r="F33" s="12"/>
      <c r="G33" s="11"/>
      <c r="H33" s="15"/>
    </row>
  </sheetData>
  <mergeCells count="13">
    <mergeCell ref="G4:H4"/>
    <mergeCell ref="G6:H6"/>
    <mergeCell ref="G8:H8"/>
    <mergeCell ref="B13:C13"/>
    <mergeCell ref="J1:K1"/>
    <mergeCell ref="H15:H17"/>
    <mergeCell ref="H19:H23"/>
    <mergeCell ref="H30:H32"/>
    <mergeCell ref="G15:G17"/>
    <mergeCell ref="G19:G23"/>
    <mergeCell ref="G30:G32"/>
    <mergeCell ref="G25:G28"/>
    <mergeCell ref="H25:H28"/>
  </mergeCells>
  <conditionalFormatting sqref="G15">
    <cfRule type="cellIs" dxfId="11" priority="13" operator="lessThan">
      <formula>2.5</formula>
    </cfRule>
    <cfRule type="cellIs" dxfId="10" priority="20" operator="between">
      <formula>2.5</formula>
      <formula>3.5</formula>
    </cfRule>
    <cfRule type="cellIs" dxfId="9" priority="23" operator="greaterThan">
      <formula>3.5</formula>
    </cfRule>
  </conditionalFormatting>
  <conditionalFormatting sqref="G19">
    <cfRule type="cellIs" dxfId="8" priority="1" operator="lessThan">
      <formula>2.5</formula>
    </cfRule>
    <cfRule type="cellIs" dxfId="7" priority="2" operator="between">
      <formula>2.5</formula>
      <formula>3.5</formula>
    </cfRule>
    <cfRule type="cellIs" dxfId="6" priority="3" operator="greaterThan">
      <formula>3.5</formula>
    </cfRule>
  </conditionalFormatting>
  <conditionalFormatting sqref="G25">
    <cfRule type="cellIs" dxfId="5" priority="7" operator="lessThan">
      <formula>2.5</formula>
    </cfRule>
    <cfRule type="cellIs" dxfId="4" priority="8" operator="between">
      <formula>2.5</formula>
      <formula>3.5</formula>
    </cfRule>
    <cfRule type="cellIs" dxfId="3" priority="9" operator="greaterThan">
      <formula>3.5</formula>
    </cfRule>
  </conditionalFormatting>
  <conditionalFormatting sqref="G30">
    <cfRule type="cellIs" dxfId="2" priority="4" operator="lessThan">
      <formula>2.5</formula>
    </cfRule>
    <cfRule type="cellIs" dxfId="1" priority="5" operator="between">
      <formula>2.5</formula>
      <formula>3.5</formula>
    </cfRule>
    <cfRule type="cellIs" dxfId="0" priority="6" operator="greaterThan">
      <formula>3.5</formula>
    </cfRule>
  </conditionalFormatting>
  <dataValidations count="1">
    <dataValidation type="list" allowBlank="1" showInputMessage="1" showErrorMessage="1" sqref="E25:E28 E15:E17 E19:E23 E30:E32" xr:uid="{195C850E-986B-4391-AE2D-F70080AA4024}">
      <formula1>choix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Matrice</vt:lpstr>
      <vt:lpstr>choix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Maabid</cp:lastModifiedBy>
  <dcterms:created xsi:type="dcterms:W3CDTF">2022-01-05T07:59:13Z</dcterms:created>
  <dcterms:modified xsi:type="dcterms:W3CDTF">2026-05-11T18:25:23Z</dcterms:modified>
</cp:coreProperties>
</file>